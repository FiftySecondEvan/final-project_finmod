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33440" yWindow="2040" windowWidth="28800" windowHeight="17380" tabRatio="600" firstSheet="0" activeTab="0" autoFilterDateGrouping="1"/>
  </bookViews>
  <sheets>
    <sheet name="MINI MOD" sheetId="1" state="visible" r:id="rId1"/>
  </sheets>
  <definedNames>
    <definedName name="_xlnm.Print_Area" localSheetId="0">'MINI MOD'!$A$1:$V$209</definedName>
  </definedNames>
  <calcPr calcId="191029" fullCalcOnLoad="1" iterate="1" calcOnSave="0"/>
</workbook>
</file>

<file path=xl/styles.xml><?xml version="1.0" encoding="utf-8"?>
<styleSheet xmlns="http://schemas.openxmlformats.org/spreadsheetml/2006/main">
  <numFmts count="6">
    <numFmt numFmtId="164" formatCode="_(* #,##0.00\x_);_(* \(#,##0.00\x\);_(* &quot;-&quot;?_);_(@_)"/>
    <numFmt numFmtId="165" formatCode="&quot;$&quot;#,##0"/>
    <numFmt numFmtId="166" formatCode="_(* #,##0_);_(* \(#,##0\);_(* &quot;-&quot;??_);_(@_)"/>
    <numFmt numFmtId="167" formatCode="#,##0.00000_);[Red]\(#,##0.00000\)"/>
    <numFmt numFmtId="168" formatCode="_(* #,##0.0_);_(* \(#,##0.0\);_(* &quot;-&quot;?_);_(@_)"/>
    <numFmt numFmtId="169" formatCode="_(* #,##0.0_);_(* \(#,##0.0\);_(* &quot;-&quot;??_);_(@_)"/>
  </numFmts>
  <fonts count="14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Arial"/>
      <family val="2"/>
      <color theme="1"/>
      <sz val="12"/>
    </font>
    <font>
      <name val="Arial"/>
      <family val="2"/>
      <b val="1"/>
      <color theme="1"/>
      <sz val="14"/>
    </font>
    <font>
      <name val="Arial"/>
      <family val="2"/>
      <b val="1"/>
      <color theme="1"/>
      <sz val="12"/>
    </font>
    <font>
      <name val="Arial"/>
      <family val="2"/>
      <i val="1"/>
      <color theme="1"/>
      <sz val="12"/>
    </font>
    <font>
      <name val="Arial"/>
      <family val="2"/>
      <color theme="1"/>
      <sz val="12"/>
      <u val="single"/>
    </font>
    <font>
      <name val="Arial"/>
      <family val="2"/>
      <color theme="2" tint="-0.499984740745262"/>
      <sz val="12"/>
    </font>
    <font>
      <name val="Arial"/>
      <family val="2"/>
      <color theme="2" tint="-0.249977111117893"/>
      <sz val="12"/>
    </font>
    <font>
      <name val="Arial"/>
      <family val="2"/>
      <color theme="2" tint="-0.249977111117893"/>
      <sz val="20"/>
    </font>
    <font>
      <name val="Arial"/>
      <family val="2"/>
      <color theme="4"/>
      <sz val="12"/>
    </font>
    <font>
      <name val="Arial"/>
      <family val="2"/>
      <b val="1"/>
      <i val="1"/>
      <color theme="1"/>
      <sz val="12"/>
    </font>
    <font>
      <name val="Arial"/>
      <family val="2"/>
      <color theme="4"/>
      <sz val="12"/>
      <u val="single"/>
    </font>
    <font>
      <name val="Arial"/>
      <family val="2"/>
      <b val="1"/>
      <color theme="4"/>
      <sz val="12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1" fillId="0" borderId="0"/>
    <xf numFmtId="43" fontId="1" fillId="0" borderId="0"/>
    <xf numFmtId="44" fontId="1" fillId="0" borderId="0"/>
    <xf numFmtId="9" fontId="1" fillId="0" borderId="0"/>
  </cellStyleXfs>
  <cellXfs count="59">
    <xf numFmtId="0" fontId="0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left"/>
    </xf>
    <xf numFmtId="0" fontId="4" fillId="0" borderId="2" applyAlignment="1" pivotButton="0" quotePrefix="0" xfId="0">
      <alignment horizontal="center"/>
    </xf>
    <xf numFmtId="0" fontId="5" fillId="0" borderId="2" applyAlignment="1" pivotButton="0" quotePrefix="0" xfId="0">
      <alignment horizontal="center"/>
    </xf>
    <xf numFmtId="0" fontId="2" fillId="0" borderId="4" pivotButton="0" quotePrefix="0" xfId="0"/>
    <xf numFmtId="41" fontId="2" fillId="0" borderId="0" pivotButton="0" quotePrefix="0" xfId="0"/>
    <xf numFmtId="0" fontId="2" fillId="0" borderId="0" applyAlignment="1" pivotButton="0" quotePrefix="0" xfId="0">
      <alignment horizontal="center" wrapText="1"/>
    </xf>
    <xf numFmtId="0" fontId="6" fillId="0" borderId="0" applyAlignment="1" pivotButton="0" quotePrefix="0" xfId="0">
      <alignment horizontal="center"/>
    </xf>
    <xf numFmtId="164" fontId="2" fillId="0" borderId="0" pivotButton="0" quotePrefix="0" xfId="0"/>
    <xf numFmtId="165" fontId="2" fillId="0" borderId="0" pivotButton="0" quotePrefix="0" xfId="0"/>
    <xf numFmtId="9" fontId="2" fillId="0" borderId="4" pivotButton="0" quotePrefix="0" xfId="3"/>
    <xf numFmtId="9" fontId="2" fillId="0" borderId="0" applyAlignment="1" pivotButton="0" quotePrefix="0" xfId="3">
      <alignment horizontal="center"/>
    </xf>
    <xf numFmtId="9" fontId="2" fillId="0" borderId="0" pivotButton="0" quotePrefix="0" xfId="3"/>
    <xf numFmtId="0" fontId="2" fillId="0" borderId="2" pivotButton="0" quotePrefix="0" xfId="0"/>
    <xf numFmtId="166" fontId="2" fillId="0" borderId="0" pivotButton="0" quotePrefix="0" xfId="1"/>
    <xf numFmtId="0" fontId="2" fillId="0" borderId="0" applyAlignment="1" pivotButton="0" quotePrefix="0" xfId="0">
      <alignment horizontal="center"/>
    </xf>
    <xf numFmtId="166" fontId="2" fillId="0" borderId="0" pivotButton="0" quotePrefix="0" xfId="0"/>
    <xf numFmtId="9" fontId="2" fillId="0" borderId="0" pivotButton="0" quotePrefix="0" xfId="0"/>
    <xf numFmtId="0" fontId="8" fillId="2" borderId="0" pivotButton="0" quotePrefix="0" xfId="0"/>
    <xf numFmtId="167" fontId="8" fillId="2" borderId="0" pivotButton="0" quotePrefix="0" xfId="0"/>
    <xf numFmtId="166" fontId="9" fillId="2" borderId="0" pivotButton="0" quotePrefix="0" xfId="0"/>
    <xf numFmtId="0" fontId="9" fillId="2" borderId="0" pivotButton="0" quotePrefix="0" xfId="0"/>
    <xf numFmtId="168" fontId="9" fillId="2" borderId="0" pivotButton="0" quotePrefix="0" xfId="0"/>
    <xf numFmtId="0" fontId="4" fillId="0" borderId="2" pivotButton="0" quotePrefix="0" xfId="0"/>
    <xf numFmtId="165" fontId="4" fillId="0" borderId="2" pivotButton="0" quotePrefix="0" xfId="2"/>
    <xf numFmtId="0" fontId="7" fillId="2" borderId="0" pivotButton="0" quotePrefix="0" xfId="0"/>
    <xf numFmtId="166" fontId="7" fillId="2" borderId="0" pivotButton="0" quotePrefix="0" xfId="0"/>
    <xf numFmtId="0" fontId="2" fillId="2" borderId="0" pivotButton="0" quotePrefix="0" xfId="0"/>
    <xf numFmtId="169" fontId="2" fillId="0" borderId="0" pivotButton="0" quotePrefix="0" xfId="1"/>
    <xf numFmtId="0" fontId="7" fillId="2" borderId="0" applyAlignment="1" pivotButton="0" quotePrefix="0" xfId="0">
      <alignment horizontal="left"/>
    </xf>
    <xf numFmtId="43" fontId="8" fillId="2" borderId="0" pivotButton="0" quotePrefix="0" xfId="0"/>
    <xf numFmtId="169" fontId="8" fillId="2" borderId="0" pivotButton="0" quotePrefix="0" xfId="0"/>
    <xf numFmtId="166" fontId="8" fillId="2" borderId="0" pivotButton="0" quotePrefix="0" xfId="0"/>
    <xf numFmtId="9" fontId="8" fillId="2" borderId="0" pivotButton="0" quotePrefix="0" xfId="3"/>
    <xf numFmtId="0" fontId="11" fillId="0" borderId="3" applyAlignment="1" pivotButton="0" quotePrefix="0" xfId="0">
      <alignment horizontal="center"/>
    </xf>
    <xf numFmtId="0" fontId="3" fillId="0" borderId="0" pivotButton="0" quotePrefix="0" xfId="0"/>
    <xf numFmtId="166" fontId="2" fillId="0" borderId="2" pivotButton="0" quotePrefix="0" xfId="0"/>
    <xf numFmtId="166" fontId="10" fillId="0" borderId="0" pivotButton="0" quotePrefix="0" xfId="1"/>
    <xf numFmtId="165" fontId="10" fillId="0" borderId="0" pivotButton="0" quotePrefix="0" xfId="0"/>
    <xf numFmtId="0" fontId="12" fillId="0" borderId="0" applyAlignment="1" pivotButton="0" quotePrefix="0" xfId="0">
      <alignment horizontal="center"/>
    </xf>
    <xf numFmtId="9" fontId="4" fillId="0" borderId="2" pivotButton="0" quotePrefix="0" xfId="0"/>
    <xf numFmtId="1" fontId="2" fillId="0" borderId="0" pivotButton="0" quotePrefix="0" xfId="0"/>
    <xf numFmtId="0" fontId="2" fillId="0" borderId="2" applyAlignment="1" pivotButton="0" quotePrefix="0" xfId="0">
      <alignment horizontal="centerContinuous" vertical="distributed"/>
    </xf>
    <xf numFmtId="0" fontId="10" fillId="0" borderId="2" applyAlignment="1" pivotButton="0" quotePrefix="0" xfId="0">
      <alignment horizontal="centerContinuous"/>
    </xf>
    <xf numFmtId="0" fontId="2" fillId="0" borderId="1" applyAlignment="1" pivotButton="0" quotePrefix="0" xfId="0">
      <alignment horizontal="centerContinuous" vertical="distributed"/>
    </xf>
    <xf numFmtId="9" fontId="2" fillId="0" borderId="0" pivotButton="0" quotePrefix="0" xfId="3"/>
    <xf numFmtId="0" fontId="3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166" fontId="10" fillId="0" borderId="2" pivotButton="0" quotePrefix="0" xfId="0"/>
    <xf numFmtId="165" fontId="13" fillId="0" borderId="2" pivotButton="0" quotePrefix="0" xfId="2"/>
    <xf numFmtId="0" fontId="3" fillId="0" borderId="5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9" fontId="2" fillId="0" borderId="0" pivotButton="0" quotePrefix="0" xfId="1"/>
    <xf numFmtId="167" fontId="8" fillId="2" borderId="0" pivotButton="0" quotePrefix="0" xfId="0"/>
    <xf numFmtId="168" fontId="9" fillId="2" borderId="0" pivotButton="0" quotePrefix="0" xfId="0"/>
    <xf numFmtId="169" fontId="8" fillId="2" borderId="0" pivotButton="0" quotePrefix="0" xfId="0"/>
  </cellXfs>
  <cellStyles count="4">
    <cellStyle name="Normal" xfId="0" builtinId="0"/>
    <cellStyle name="Comma" xfId="1" builtinId="3"/>
    <cellStyle name="Currency" xfId="2" builtinId="4"/>
    <cellStyle name="Percent" xfId="3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D159"/>
  <sheetViews>
    <sheetView showGridLines="0" tabSelected="1" zoomScaleNormal="100" workbookViewId="0">
      <selection activeCell="J9" sqref="J9"/>
    </sheetView>
  </sheetViews>
  <sheetFormatPr baseColWidth="10" defaultColWidth="8.83203125" defaultRowHeight="16"/>
  <cols>
    <col width="3.1640625" customWidth="1" style="30" min="1" max="1"/>
    <col width="3.6640625" customWidth="1" style="28" min="2" max="2"/>
    <col width="23.5" customWidth="1" style="28" min="3" max="3"/>
    <col width="8.33203125" customWidth="1" style="28" min="4" max="4"/>
    <col width="9.83203125" customWidth="1" style="28" min="5" max="5"/>
    <col width="9.5" bestFit="1" customWidth="1" style="28" min="6" max="6"/>
    <col width="9" customWidth="1" style="28" min="7" max="7"/>
    <col width="9.5" bestFit="1" customWidth="1" style="28" min="8" max="9"/>
    <col width="9.83203125" bestFit="1" customWidth="1" style="28" min="10" max="10"/>
    <col width="9.83203125" customWidth="1" style="28" min="11" max="13"/>
    <col width="10.33203125" customWidth="1" style="28" min="14" max="14"/>
    <col width="3.6640625" customWidth="1" style="28" min="15" max="15"/>
    <col width="14.83203125" customWidth="1" style="28" min="16" max="16"/>
    <col width="9" customWidth="1" style="28" min="17" max="17"/>
    <col width="10.1640625" customWidth="1" style="28" min="18" max="18"/>
    <col width="10.5" customWidth="1" style="28" min="19" max="19"/>
    <col width="9.83203125" customWidth="1" style="28" min="20" max="20"/>
    <col width="3.33203125" customWidth="1" style="28" min="21" max="21"/>
    <col width="3.1640625" customWidth="1" style="26" min="22" max="22"/>
    <col width="8.83203125" customWidth="1" style="19" min="23" max="25"/>
    <col width="9.5" bestFit="1" customWidth="1" style="19" min="26" max="26"/>
    <col width="8.83203125" customWidth="1" style="19" min="27" max="16384"/>
  </cols>
  <sheetData>
    <row r="1" ht="28" customHeight="1">
      <c r="B1" s="1" t="n"/>
      <c r="C1" s="36" t="inlineStr">
        <is>
          <t>Model for</t>
        </is>
      </c>
      <c r="D1" s="1" t="inlineStr">
        <is>
          <t>name of the company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6" customHeight="1">
      <c r="B2" s="1" t="n"/>
      <c r="C2" s="52" t="inlineStr">
        <is>
          <t>P&amp;L</t>
        </is>
      </c>
      <c r="D2" s="53" t="n"/>
      <c r="E2" s="53" t="n"/>
      <c r="F2" s="53" t="n"/>
      <c r="G2" s="53" t="n"/>
      <c r="H2" s="53" t="n"/>
      <c r="I2" s="53" t="n"/>
      <c r="J2" s="53" t="n"/>
      <c r="K2" s="53" t="n"/>
      <c r="L2" s="53" t="n"/>
      <c r="M2" s="53" t="n"/>
      <c r="N2" s="54" t="n"/>
      <c r="O2" s="1" t="n"/>
      <c r="P2" s="2" t="inlineStr">
        <is>
          <t>AI Inferred Assumptions</t>
        </is>
      </c>
      <c r="Q2" s="3" t="n"/>
      <c r="R2" s="3" t="n"/>
      <c r="S2" s="4" t="n"/>
      <c r="T2" s="35" t="n"/>
      <c r="U2" s="1" t="n"/>
    </row>
    <row r="3" ht="16" customHeight="1">
      <c r="B3" s="1" t="n"/>
      <c r="C3" s="1" t="n"/>
      <c r="D3" s="16" t="n"/>
      <c r="E3" s="44" t="inlineStr">
        <is>
          <t>Actual</t>
        </is>
      </c>
      <c r="F3" s="44" t="n"/>
      <c r="G3" s="44" t="n"/>
      <c r="H3" s="45" t="inlineStr">
        <is>
          <t>Projected</t>
        </is>
      </c>
      <c r="I3" s="43" t="n"/>
      <c r="J3" s="43" t="n"/>
      <c r="K3" s="43" t="n"/>
      <c r="L3" s="43" t="n"/>
      <c r="M3" s="43" t="n"/>
      <c r="N3" s="5" t="n"/>
      <c r="O3" s="1" t="n"/>
      <c r="P3" s="1" t="n"/>
      <c r="Q3" s="1" t="n"/>
      <c r="R3" s="1" t="n"/>
      <c r="S3" s="9" t="n"/>
      <c r="T3" s="9" t="n"/>
      <c r="U3" s="1" t="n"/>
    </row>
    <row r="4" ht="16" customHeight="1">
      <c r="B4" s="1" t="n"/>
      <c r="C4" s="1" t="n"/>
      <c r="D4" s="8" t="n"/>
      <c r="E4" s="40" t="n">
        <v>2023</v>
      </c>
      <c r="F4" s="40">
        <f>E4+1</f>
        <v/>
      </c>
      <c r="G4" s="40">
        <f>F4+1</f>
        <v/>
      </c>
      <c r="H4" s="8">
        <f>G4+1</f>
        <v/>
      </c>
      <c r="I4" s="8">
        <f>H4+1</f>
        <v/>
      </c>
      <c r="J4" s="8">
        <f>I4+1</f>
        <v/>
      </c>
      <c r="K4" s="8">
        <f>J4+1</f>
        <v/>
      </c>
      <c r="L4" s="8">
        <f>K4+1</f>
        <v/>
      </c>
      <c r="M4" s="8">
        <f>L4+1</f>
        <v/>
      </c>
      <c r="N4" s="5" t="n">
        <v>0.02</v>
      </c>
      <c r="O4" s="1" t="n"/>
      <c r="P4" s="7" t="n"/>
      <c r="Q4" s="7" t="n"/>
      <c r="R4" s="1" t="n"/>
      <c r="S4" s="9" t="n"/>
      <c r="T4" s="9" t="n"/>
      <c r="U4" s="1" t="n"/>
    </row>
    <row r="5" ht="16" customHeight="1">
      <c r="B5" s="1" t="n"/>
      <c r="C5" s="1" t="inlineStr">
        <is>
          <t>Revenue</t>
        </is>
      </c>
      <c r="D5" s="10" t="n"/>
      <c r="E5" s="39" t="n">
        <v>100</v>
      </c>
      <c r="F5" s="39" t="n">
        <v>102</v>
      </c>
      <c r="G5" s="39" t="n">
        <v>101</v>
      </c>
      <c r="H5" s="10" t="n">
        <v>103.02</v>
      </c>
      <c r="I5" s="10" t="n">
        <v>105.0804</v>
      </c>
      <c r="J5" s="10" t="n">
        <v>107.182008</v>
      </c>
      <c r="K5" s="10" t="n">
        <v>109.32564816</v>
      </c>
      <c r="L5" s="10" t="n">
        <v>111.5121611232</v>
      </c>
      <c r="M5" s="10" t="n">
        <v>113.742404345664</v>
      </c>
      <c r="N5" s="11" t="n"/>
      <c r="O5" s="1" t="n"/>
      <c r="P5" s="24" t="inlineStr">
        <is>
          <t xml:space="preserve">Revenue growth </t>
        </is>
      </c>
      <c r="Q5" s="24" t="n">
        <v>0.02</v>
      </c>
      <c r="R5" s="41" t="n"/>
      <c r="S5" s="9" t="n"/>
      <c r="T5" s="9" t="n"/>
      <c r="U5" s="1" t="n"/>
    </row>
    <row r="6" ht="16" customHeight="1">
      <c r="B6" s="1" t="n"/>
      <c r="C6" s="1" t="inlineStr">
        <is>
          <t xml:space="preserve">   % growth</t>
        </is>
      </c>
      <c r="D6" s="12" t="n"/>
      <c r="E6" s="46" t="n"/>
      <c r="F6" s="46" t="n">
        <v>0.02000000000000002</v>
      </c>
      <c r="G6" s="46" t="n">
        <v>-0.009803921568627416</v>
      </c>
      <c r="H6" s="46" t="n">
        <v>0.02000000000000002</v>
      </c>
      <c r="I6" s="46" t="n">
        <v>0.02000000000000002</v>
      </c>
      <c r="J6" s="46" t="n">
        <v>0.02000000000000002</v>
      </c>
      <c r="K6" s="46" t="n">
        <v>0.02000000000000002</v>
      </c>
      <c r="L6" s="46" t="n">
        <v>0.02000000000000002</v>
      </c>
      <c r="M6" s="46" t="n">
        <v>0.02000000000000002</v>
      </c>
      <c r="N6" s="5" t="n"/>
      <c r="O6" s="1" t="n"/>
      <c r="P6" s="24" t="inlineStr">
        <is>
          <t>COGS</t>
        </is>
      </c>
      <c r="Q6" s="24" t="n">
        <v>0.7</v>
      </c>
      <c r="R6" s="41" t="n"/>
      <c r="S6" s="9" t="n"/>
      <c r="T6" s="9" t="n"/>
      <c r="U6" s="1" t="n"/>
    </row>
    <row r="7" ht="16" customHeight="1"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5" t="n"/>
      <c r="O7" s="1" t="n"/>
      <c r="P7" s="24" t="inlineStr">
        <is>
          <t>SG&amp;A</t>
        </is>
      </c>
      <c r="Q7" s="24" t="n">
        <v>0.05</v>
      </c>
      <c r="R7" s="41" t="n"/>
      <c r="S7" s="9" t="n"/>
      <c r="T7" s="9" t="n"/>
      <c r="U7" s="1" t="n"/>
    </row>
    <row r="8" ht="16" customHeight="1">
      <c r="B8" s="1" t="n"/>
      <c r="C8" s="1" t="inlineStr">
        <is>
          <t>COGS</t>
        </is>
      </c>
      <c r="D8" s="1" t="n"/>
      <c r="E8" s="39" t="n">
        <v>70</v>
      </c>
      <c r="F8" s="39" t="n">
        <v>70</v>
      </c>
      <c r="G8" s="39" t="n">
        <v>70</v>
      </c>
      <c r="H8" s="42" t="n">
        <v>72.11399999999999</v>
      </c>
      <c r="I8" s="42" t="n">
        <v>73.55627999999999</v>
      </c>
      <c r="J8" s="42" t="n">
        <v>75.02740559999999</v>
      </c>
      <c r="K8" s="42" t="n">
        <v>76.527953712</v>
      </c>
      <c r="L8" s="42" t="n">
        <v>78.05851278624</v>
      </c>
      <c r="M8" s="42" t="n">
        <v>79.61968304196479</v>
      </c>
      <c r="N8" s="11" t="n"/>
      <c r="O8" s="1" t="n"/>
      <c r="P8" s="24" t="inlineStr">
        <is>
          <t>R&amp;D</t>
        </is>
      </c>
      <c r="Q8" s="24" t="n">
        <v>0.05</v>
      </c>
      <c r="R8" s="41" t="n"/>
      <c r="S8" s="9" t="n"/>
      <c r="T8" s="9" t="n"/>
      <c r="U8" s="1" t="n"/>
    </row>
    <row r="9" ht="16" customHeight="1">
      <c r="B9" s="1" t="n"/>
      <c r="C9" s="1" t="inlineStr">
        <is>
          <t xml:space="preserve">   % expenses</t>
        </is>
      </c>
      <c r="D9" s="1" t="n"/>
      <c r="E9" s="46" t="n">
        <v>0.7</v>
      </c>
      <c r="F9" s="46" t="n">
        <v>0.6862745098039216</v>
      </c>
      <c r="G9" s="46" t="n">
        <v>0.693069306930693</v>
      </c>
      <c r="H9" s="18" t="n">
        <v>0.7</v>
      </c>
      <c r="I9" s="18" t="n">
        <v>0.6999999999999998</v>
      </c>
      <c r="J9" s="18" t="n">
        <v>0.7</v>
      </c>
      <c r="K9" s="18" t="n">
        <v>0.7</v>
      </c>
      <c r="L9" s="18" t="n">
        <v>0.7</v>
      </c>
      <c r="M9" s="18" t="n">
        <v>0.7</v>
      </c>
      <c r="N9" s="5" t="n"/>
      <c r="O9" s="1" t="n"/>
      <c r="P9" s="24" t="inlineStr">
        <is>
          <t>CAPEX</t>
        </is>
      </c>
      <c r="Q9" s="24" t="n">
        <v>-0.02</v>
      </c>
      <c r="R9" s="41" t="n"/>
      <c r="S9" s="9" t="n"/>
      <c r="T9" s="9" t="n"/>
      <c r="U9" s="1" t="n"/>
    </row>
    <row r="10" ht="16" customHeight="1"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5" t="n"/>
      <c r="O10" s="1" t="n"/>
      <c r="P10" s="24" t="inlineStr">
        <is>
          <t>Other Income</t>
        </is>
      </c>
      <c r="Q10" s="24" t="n">
        <v>0</v>
      </c>
      <c r="R10" s="41" t="n"/>
      <c r="S10" s="9" t="n"/>
      <c r="T10" s="9" t="n"/>
      <c r="U10" s="1" t="n"/>
    </row>
    <row r="11" ht="16" customHeight="1">
      <c r="B11" s="1" t="n"/>
      <c r="C11" s="1" t="inlineStr">
        <is>
          <t>Gross Profit</t>
        </is>
      </c>
      <c r="D11" s="15" t="n"/>
      <c r="E11" s="38" t="n">
        <v>30</v>
      </c>
      <c r="F11" s="38" t="n">
        <v>32</v>
      </c>
      <c r="G11" s="38" t="n">
        <v>31</v>
      </c>
      <c r="H11" s="38" t="n">
        <v>30.90600000000001</v>
      </c>
      <c r="I11" s="38" t="n">
        <v>31.52412000000001</v>
      </c>
      <c r="J11" s="38" t="n">
        <v>32.1546024</v>
      </c>
      <c r="K11" s="38" t="n">
        <v>32.797694448</v>
      </c>
      <c r="L11" s="38" t="n">
        <v>33.45364833696</v>
      </c>
      <c r="M11" s="38" t="n">
        <v>34.12272130369921</v>
      </c>
      <c r="N11" s="11" t="n"/>
      <c r="O11" s="1" t="n"/>
      <c r="P11" s="1" t="n"/>
      <c r="Q11" s="1" t="n"/>
      <c r="R11" s="6" t="n"/>
      <c r="S11" s="9" t="n"/>
      <c r="T11" s="9" t="n"/>
      <c r="U11" s="1" t="n"/>
    </row>
    <row r="12" ht="16" customHeight="1">
      <c r="B12" s="1" t="n"/>
      <c r="C12" s="1" t="inlineStr">
        <is>
          <t xml:space="preserve">   % margin</t>
        </is>
      </c>
      <c r="D12" s="1" t="n"/>
      <c r="E12" s="46" t="n">
        <v>0.3</v>
      </c>
      <c r="F12" s="46" t="n">
        <v>0.3137254901960784</v>
      </c>
      <c r="G12" s="46" t="n">
        <v>0.3069306930693069</v>
      </c>
      <c r="H12" s="46" t="n">
        <v>0.3</v>
      </c>
      <c r="I12" s="46" t="n">
        <v>0.3000000000000001</v>
      </c>
      <c r="J12" s="46" t="n">
        <v>0.3</v>
      </c>
      <c r="K12" s="46" t="n">
        <v>0.3</v>
      </c>
      <c r="L12" s="46" t="n">
        <v>0.3</v>
      </c>
      <c r="M12" s="46" t="n">
        <v>0.3000000000000001</v>
      </c>
      <c r="N12" s="5" t="n"/>
      <c r="O12" s="1" t="n"/>
      <c r="P12" s="1" t="n"/>
      <c r="Q12" s="1" t="n"/>
      <c r="R12" s="6" t="n"/>
      <c r="S12" s="9" t="n"/>
      <c r="T12" s="9" t="n"/>
      <c r="U12" s="1" t="n"/>
    </row>
    <row r="13" ht="16" customHeight="1"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5" t="n"/>
      <c r="O13" s="1" t="n"/>
      <c r="P13" s="1" t="n"/>
      <c r="Q13" s="1" t="n"/>
      <c r="R13" s="6" t="n"/>
      <c r="S13" s="9" t="n"/>
      <c r="T13" s="9" t="n"/>
      <c r="U13" s="1" t="n"/>
    </row>
    <row r="14" ht="16" customHeight="1">
      <c r="B14" s="1" t="n"/>
      <c r="C14" s="1" t="inlineStr">
        <is>
          <t>SG&amp;A</t>
        </is>
      </c>
      <c r="D14" s="15" t="n"/>
      <c r="E14" s="38" t="n">
        <v>5</v>
      </c>
      <c r="F14" s="38" t="n">
        <v>5</v>
      </c>
      <c r="G14" s="38" t="n">
        <v>5</v>
      </c>
      <c r="H14" s="15" t="n">
        <v>5.151</v>
      </c>
      <c r="I14" s="15" t="n">
        <v>5.254020000000001</v>
      </c>
      <c r="J14" s="15" t="n">
        <v>5.3591004</v>
      </c>
      <c r="K14" s="15" t="n">
        <v>5.466282408000001</v>
      </c>
      <c r="L14" s="15" t="n">
        <v>5.57560805616</v>
      </c>
      <c r="M14" s="15" t="n">
        <v>5.6871202172832</v>
      </c>
      <c r="N14" s="11" t="n"/>
      <c r="O14" s="1" t="n"/>
      <c r="P14" s="1" t="n"/>
      <c r="Q14" s="1" t="n"/>
      <c r="R14" s="6" t="n"/>
      <c r="S14" s="9" t="n"/>
      <c r="T14" s="9" t="n"/>
      <c r="U14" s="1" t="n"/>
    </row>
    <row r="15" ht="16" customHeight="1">
      <c r="B15" s="1" t="n"/>
      <c r="C15" s="1" t="inlineStr">
        <is>
          <t xml:space="preserve">   % margin</t>
        </is>
      </c>
      <c r="D15" s="46" t="n"/>
      <c r="E15" s="46" t="n">
        <v>0.05</v>
      </c>
      <c r="F15" s="46" t="n">
        <v>0.04901960784313725</v>
      </c>
      <c r="G15" s="46" t="n">
        <v>0.04950495049504951</v>
      </c>
      <c r="H15" s="46" t="n">
        <v>0.05</v>
      </c>
      <c r="I15" s="46" t="n">
        <v>0.05000000000000001</v>
      </c>
      <c r="J15" s="46" t="n">
        <v>0.05</v>
      </c>
      <c r="K15" s="46" t="n">
        <v>0.05</v>
      </c>
      <c r="L15" s="46" t="n">
        <v>0.05</v>
      </c>
      <c r="M15" s="46" t="n">
        <v>0.05</v>
      </c>
      <c r="N15" s="5" t="n"/>
      <c r="O15" s="1" t="n"/>
      <c r="P15" s="1" t="n"/>
      <c r="Q15" s="1" t="n"/>
      <c r="R15" s="6" t="n"/>
      <c r="S15" s="9" t="n"/>
      <c r="T15" s="9" t="n"/>
      <c r="U15" s="1" t="n"/>
    </row>
    <row r="16" ht="16" customHeight="1"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5" t="n"/>
      <c r="O16" s="1" t="n"/>
      <c r="P16" s="1" t="n"/>
      <c r="Q16" s="1" t="n"/>
      <c r="R16" s="6" t="n"/>
      <c r="S16" s="9" t="n"/>
      <c r="T16" s="9" t="n"/>
      <c r="U16" s="1" t="n"/>
    </row>
    <row r="17" ht="16" customHeight="1">
      <c r="B17" s="1" t="n"/>
      <c r="C17" s="1" t="inlineStr">
        <is>
          <t>R&amp;D</t>
        </is>
      </c>
      <c r="D17" s="15" t="n"/>
      <c r="E17" s="38" t="n">
        <v>5</v>
      </c>
      <c r="F17" s="38" t="n">
        <v>5</v>
      </c>
      <c r="G17" s="38" t="n">
        <v>5</v>
      </c>
      <c r="H17" s="15" t="n">
        <v>5.151</v>
      </c>
      <c r="I17" s="15" t="n">
        <v>5.254020000000001</v>
      </c>
      <c r="J17" s="15" t="n">
        <v>5.3591004</v>
      </c>
      <c r="K17" s="15" t="n">
        <v>5.466282408000001</v>
      </c>
      <c r="L17" s="15" t="n">
        <v>5.57560805616</v>
      </c>
      <c r="M17" s="15" t="n">
        <v>5.6871202172832</v>
      </c>
      <c r="N17" s="11" t="n"/>
      <c r="O17" s="1" t="n"/>
      <c r="P17" s="1" t="n"/>
      <c r="Q17" s="1" t="n"/>
      <c r="R17" s="6" t="n"/>
      <c r="S17" s="9" t="n"/>
      <c r="T17" s="9" t="n"/>
      <c r="U17" s="1" t="n"/>
    </row>
    <row r="18" ht="16" customHeight="1">
      <c r="B18" s="1" t="n"/>
      <c r="C18" s="1" t="inlineStr">
        <is>
          <t xml:space="preserve">   % margin</t>
        </is>
      </c>
      <c r="D18" s="46" t="n"/>
      <c r="E18" s="46" t="n">
        <v>0.05</v>
      </c>
      <c r="F18" s="46" t="n">
        <v>0.04901960784313725</v>
      </c>
      <c r="G18" s="46" t="n">
        <v>0.04950495049504951</v>
      </c>
      <c r="H18" s="46" t="n">
        <v>0.05</v>
      </c>
      <c r="I18" s="46" t="n">
        <v>0.05000000000000001</v>
      </c>
      <c r="J18" s="46" t="n">
        <v>0.05</v>
      </c>
      <c r="K18" s="46" t="n">
        <v>0.05</v>
      </c>
      <c r="L18" s="46" t="n">
        <v>0.05</v>
      </c>
      <c r="M18" s="46" t="n">
        <v>0.05</v>
      </c>
      <c r="N18" s="5" t="n"/>
      <c r="O18" s="1" t="n"/>
      <c r="P18" s="1" t="n"/>
      <c r="Q18" s="1" t="n"/>
      <c r="R18" s="6" t="n"/>
      <c r="S18" s="9" t="n"/>
      <c r="T18" s="9" t="n"/>
      <c r="U18" s="1" t="n"/>
    </row>
    <row r="19" ht="16" customHeight="1">
      <c r="B19" s="1" t="n"/>
      <c r="C19" s="1" t="n"/>
      <c r="D19" s="46" t="n"/>
      <c r="E19" s="46" t="n"/>
      <c r="F19" s="46" t="n"/>
      <c r="G19" s="46" t="n"/>
      <c r="H19" s="46" t="n"/>
      <c r="I19" s="46" t="n"/>
      <c r="J19" s="46" t="n"/>
      <c r="K19" s="46" t="n"/>
      <c r="L19" s="46" t="n"/>
      <c r="M19" s="46" t="n"/>
      <c r="N19" s="5" t="n"/>
      <c r="O19" s="1" t="n"/>
      <c r="P19" s="1" t="n"/>
      <c r="Q19" s="1" t="n"/>
      <c r="R19" s="6" t="n"/>
      <c r="S19" s="9" t="n"/>
      <c r="T19" s="9" t="n"/>
      <c r="U19" s="1" t="n"/>
    </row>
    <row r="20" ht="16" customHeight="1">
      <c r="B20" s="1" t="n"/>
      <c r="C20" s="14" t="inlineStr">
        <is>
          <t>Organic EBITDA</t>
        </is>
      </c>
      <c r="D20" s="14" t="n"/>
      <c r="E20" s="50" t="n">
        <v>25</v>
      </c>
      <c r="F20" s="50" t="n">
        <v>27</v>
      </c>
      <c r="G20" s="50" t="n">
        <v>26</v>
      </c>
      <c r="H20" s="37" t="n">
        <v>25.75500000000001</v>
      </c>
      <c r="I20" s="37" t="n">
        <v>26.27010000000001</v>
      </c>
      <c r="J20" s="37" t="n">
        <v>26.795502</v>
      </c>
      <c r="K20" s="37" t="n">
        <v>27.33141204</v>
      </c>
      <c r="L20" s="37" t="n">
        <v>27.8780402808</v>
      </c>
      <c r="M20" s="37" t="n">
        <v>28.43560108641601</v>
      </c>
      <c r="N20" s="5" t="n"/>
      <c r="O20" s="1" t="n"/>
      <c r="P20" s="1" t="n"/>
      <c r="Q20" s="1" t="n"/>
      <c r="R20" s="6" t="n"/>
      <c r="S20" s="9" t="n"/>
      <c r="T20" s="9" t="n"/>
      <c r="U20" s="1" t="n"/>
    </row>
    <row r="21" ht="16" customHeight="1">
      <c r="B21" s="1" t="n"/>
      <c r="C21" s="1" t="inlineStr">
        <is>
          <t xml:space="preserve">   % margin</t>
        </is>
      </c>
      <c r="D21" s="1" t="n"/>
      <c r="E21" s="46" t="n"/>
      <c r="F21" s="46" t="n"/>
      <c r="G21" s="46" t="n"/>
      <c r="H21" s="46" t="n"/>
      <c r="I21" s="46" t="n"/>
      <c r="J21" s="46" t="n"/>
      <c r="K21" s="46" t="n"/>
      <c r="L21" s="46" t="n"/>
      <c r="M21" s="46" t="n"/>
      <c r="N21" s="5" t="n"/>
      <c r="O21" s="1" t="n"/>
      <c r="P21" s="1" t="n"/>
      <c r="Q21" s="1" t="n"/>
      <c r="R21" s="6" t="n"/>
      <c r="S21" s="9" t="n"/>
      <c r="T21" s="9" t="n"/>
      <c r="U21" s="1" t="n"/>
    </row>
    <row r="22" ht="16" customHeight="1"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5" t="n"/>
      <c r="O22" s="1" t="n"/>
      <c r="P22" s="1" t="n"/>
      <c r="Q22" s="1" t="n"/>
      <c r="R22" s="6" t="n"/>
      <c r="S22" s="9" t="n"/>
      <c r="T22" s="9" t="n"/>
      <c r="U22" s="1" t="n"/>
    </row>
    <row r="23" ht="16" customHeight="1">
      <c r="B23" s="1" t="n"/>
      <c r="C23" s="1" t="inlineStr">
        <is>
          <t>Other Income</t>
        </is>
      </c>
      <c r="D23" s="15" t="n"/>
      <c r="E23" s="15" t="n">
        <v>0</v>
      </c>
      <c r="F23" s="15" t="n">
        <v>0</v>
      </c>
      <c r="G23" s="15" t="n">
        <v>0</v>
      </c>
      <c r="H23" s="55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" t="n"/>
      <c r="O23" s="1" t="n"/>
      <c r="P23" s="1" t="n"/>
      <c r="Q23" s="1" t="n"/>
      <c r="R23" s="6" t="n"/>
      <c r="S23" s="9" t="n"/>
      <c r="T23" s="9" t="n"/>
      <c r="U23" s="1" t="n"/>
    </row>
    <row r="24" ht="16" customHeight="1">
      <c r="B24" s="1" t="n"/>
      <c r="C24" s="1" t="n"/>
      <c r="D24" s="15" t="n"/>
      <c r="E24" s="46" t="n"/>
      <c r="F24" s="46" t="n"/>
      <c r="G24" s="46" t="n"/>
      <c r="H24" s="46" t="n"/>
      <c r="I24" s="46" t="n"/>
      <c r="J24" s="46" t="n"/>
      <c r="K24" s="46" t="n"/>
      <c r="L24" s="46" t="n"/>
      <c r="M24" s="46" t="n"/>
      <c r="N24" s="5" t="n"/>
      <c r="O24" s="1" t="n"/>
      <c r="P24" s="1" t="n"/>
      <c r="Q24" s="1" t="n"/>
      <c r="R24" s="6" t="n"/>
      <c r="S24" s="9" t="n"/>
      <c r="T24" s="9" t="n"/>
      <c r="U24" s="1" t="n"/>
    </row>
    <row r="25" ht="16" customHeight="1">
      <c r="B25" s="1" t="n"/>
      <c r="C25" s="24" t="inlineStr">
        <is>
          <t>Total EBITDA</t>
        </is>
      </c>
      <c r="D25" s="25" t="n"/>
      <c r="E25" s="51" t="n">
        <v>25</v>
      </c>
      <c r="F25" s="51" t="n">
        <v>27</v>
      </c>
      <c r="G25" s="51" t="n">
        <v>26</v>
      </c>
      <c r="H25" s="25" t="n">
        <v>25.75500000000001</v>
      </c>
      <c r="I25" s="25" t="n">
        <v>26.27010000000001</v>
      </c>
      <c r="J25" s="25" t="n">
        <v>26.795502</v>
      </c>
      <c r="K25" s="25" t="n">
        <v>27.33141204</v>
      </c>
      <c r="L25" s="25" t="n">
        <v>27.8780402808</v>
      </c>
      <c r="M25" s="25" t="n">
        <v>28.43560108641601</v>
      </c>
      <c r="N25" s="11" t="n"/>
      <c r="O25" s="1" t="n"/>
      <c r="P25" s="1" t="n"/>
      <c r="Q25" s="1" t="n"/>
      <c r="R25" s="6" t="n"/>
      <c r="S25" s="9" t="n"/>
      <c r="T25" s="9" t="n"/>
      <c r="U25" s="1" t="n"/>
    </row>
    <row r="26" ht="16" customHeight="1">
      <c r="B26" s="1" t="n"/>
      <c r="C26" s="1" t="inlineStr">
        <is>
          <t xml:space="preserve">   % margin</t>
        </is>
      </c>
      <c r="D26" s="46" t="n"/>
      <c r="E26" s="46" t="n">
        <v>0.25</v>
      </c>
      <c r="F26" s="46" t="n">
        <v>0.2647058823529412</v>
      </c>
      <c r="G26" s="46" t="n">
        <v>0.2574257425742574</v>
      </c>
      <c r="H26" s="46" t="n">
        <v>0.2500000000000001</v>
      </c>
      <c r="I26" s="46" t="n">
        <v>0.2500000000000001</v>
      </c>
      <c r="J26" s="46" t="n">
        <v>0.2500000000000001</v>
      </c>
      <c r="K26" s="46" t="n">
        <v>0.25</v>
      </c>
      <c r="L26" s="46" t="n">
        <v>0.25</v>
      </c>
      <c r="M26" s="46" t="n">
        <v>0.2500000000000001</v>
      </c>
      <c r="N26" s="5" t="n"/>
      <c r="O26" s="1" t="n"/>
      <c r="P26" s="1" t="n"/>
      <c r="Q26" s="1" t="n"/>
      <c r="R26" s="6" t="n"/>
      <c r="S26" s="9" t="n"/>
      <c r="T26" s="9" t="n"/>
      <c r="U26" s="1" t="n"/>
    </row>
    <row r="27" ht="16" customHeight="1">
      <c r="B27" s="1" t="n"/>
      <c r="C27" s="1" t="n"/>
      <c r="D27" s="1" t="n"/>
      <c r="E27" s="1" t="n"/>
      <c r="F27" s="46" t="n"/>
      <c r="G27" s="1" t="n"/>
      <c r="H27" s="1" t="n"/>
      <c r="I27" s="1" t="n"/>
      <c r="J27" s="1" t="n"/>
      <c r="K27" s="1" t="n"/>
      <c r="L27" s="1" t="n"/>
      <c r="M27" s="1" t="n"/>
      <c r="N27" s="5" t="n"/>
      <c r="O27" s="1" t="n"/>
      <c r="P27" s="1" t="n"/>
      <c r="Q27" s="1" t="n"/>
      <c r="R27" s="6" t="n"/>
      <c r="S27" s="9" t="n"/>
      <c r="T27" s="9" t="n"/>
      <c r="U27" s="1" t="n"/>
    </row>
    <row r="28" ht="16" customHeight="1">
      <c r="B28" s="1" t="n"/>
      <c r="C28" s="1" t="inlineStr">
        <is>
          <t>Capex</t>
        </is>
      </c>
      <c r="D28" s="1" t="n"/>
      <c r="E28" s="38" t="n">
        <v>-2</v>
      </c>
      <c r="F28" s="38" t="n">
        <v>-2</v>
      </c>
      <c r="G28" s="38" t="n">
        <v>-2</v>
      </c>
      <c r="H28" s="15" t="n">
        <v>-2.0604</v>
      </c>
      <c r="I28" s="15" t="n">
        <v>-2.101608</v>
      </c>
      <c r="J28" s="15" t="n">
        <v>-2.14364016</v>
      </c>
      <c r="K28" s="15" t="n">
        <v>-2.1865129632</v>
      </c>
      <c r="L28" s="15" t="n">
        <v>-2.230243222464</v>
      </c>
      <c r="M28" s="15" t="n">
        <v>-2.27484808691328</v>
      </c>
      <c r="N28" s="5" t="n"/>
      <c r="O28" s="1" t="n"/>
      <c r="P28" s="1" t="n"/>
      <c r="Q28" s="1" t="n"/>
      <c r="R28" s="6" t="n"/>
      <c r="S28" s="9" t="n"/>
      <c r="T28" s="9" t="n"/>
      <c r="U28" s="1" t="n"/>
    </row>
    <row r="29" ht="16" customHeight="1">
      <c r="B29" s="1" t="n"/>
      <c r="C29" s="1" t="inlineStr">
        <is>
          <t xml:space="preserve">  % Revenue</t>
        </is>
      </c>
      <c r="D29" s="1" t="n"/>
      <c r="E29" s="17" t="n">
        <v>-0.02</v>
      </c>
      <c r="F29" s="17" t="n">
        <v>-0.0196078431372549</v>
      </c>
      <c r="G29" s="17" t="n">
        <v>-0.0198019801980198</v>
      </c>
      <c r="H29" s="18" t="n">
        <v>-0.02</v>
      </c>
      <c r="I29" s="18" t="n">
        <v>-0.02</v>
      </c>
      <c r="J29" s="18" t="n">
        <v>-0.02</v>
      </c>
      <c r="K29" s="18" t="n">
        <v>-0.02</v>
      </c>
      <c r="L29" s="18" t="n">
        <v>-0.02</v>
      </c>
      <c r="M29" s="18" t="n">
        <v>-0.02</v>
      </c>
      <c r="N29" s="11" t="n"/>
      <c r="O29" s="1" t="n"/>
      <c r="P29" s="1" t="n"/>
      <c r="Q29" s="1" t="n"/>
      <c r="R29" s="6" t="n"/>
      <c r="S29" s="9" t="n"/>
      <c r="T29" s="9" t="n"/>
      <c r="U29" s="1" t="n"/>
    </row>
    <row r="30" ht="16" customHeight="1"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6" t="n"/>
      <c r="S30" s="9" t="n"/>
      <c r="T30" s="9" t="n"/>
      <c r="U30" s="1" t="n"/>
    </row>
    <row r="31" ht="16" customHeight="1"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6" t="n"/>
      <c r="S31" s="9" t="n"/>
      <c r="T31" s="9" t="n"/>
      <c r="U31" s="1" t="n"/>
    </row>
    <row r="32" ht="16" customHeight="1"/>
    <row r="33" ht="16" customHeight="1"/>
    <row r="34" ht="16" customHeight="1"/>
    <row r="35" ht="16" customHeight="1">
      <c r="AD35" s="56" t="n"/>
    </row>
    <row r="36" ht="16" customHeight="1"/>
    <row r="37" ht="16" customHeight="1">
      <c r="V37" s="27" t="n"/>
      <c r="W37" s="21" t="n"/>
    </row>
    <row r="38" ht="16" customHeight="1">
      <c r="W38" s="22" t="n"/>
    </row>
    <row r="39" ht="16" customHeight="1">
      <c r="W39" s="22" t="n"/>
    </row>
    <row r="40" ht="16" customHeight="1">
      <c r="W40" s="22" t="n"/>
    </row>
    <row r="41" ht="16" customHeight="1">
      <c r="W41" s="57" t="n"/>
    </row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16" customHeight="1"/>
    <row r="63" ht="16" customHeight="1"/>
    <row r="64" ht="16" customHeight="1"/>
    <row r="65" ht="16" customHeight="1"/>
    <row r="66" ht="16" customHeight="1"/>
    <row r="67" ht="16" customHeight="1"/>
    <row r="68" ht="9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>
      <c r="Y76" s="34" t="n"/>
      <c r="Z76" s="34" t="n"/>
      <c r="AA76" s="34" t="n"/>
    </row>
    <row r="77" ht="16" customHeight="1">
      <c r="Y77" s="58" t="n"/>
      <c r="Z77" s="58" t="n"/>
      <c r="AA77" s="58" t="n"/>
      <c r="AB77" s="58" t="n"/>
      <c r="AC77" s="58" t="n"/>
      <c r="AD77" s="58" t="n"/>
    </row>
    <row r="78" ht="20" customHeight="1">
      <c r="Y78" s="58" t="n"/>
      <c r="Z78" s="58" t="n"/>
      <c r="AA78" s="58" t="n"/>
      <c r="AB78" s="58" t="n"/>
      <c r="AC78" s="58" t="n"/>
      <c r="AD78" s="58" t="n"/>
    </row>
    <row r="79" ht="19" customHeight="1"/>
    <row r="80" ht="16" customHeight="1">
      <c r="Y80" s="58" t="n"/>
      <c r="Z80" s="58" t="n"/>
      <c r="AA80" s="58" t="n"/>
      <c r="AB80" s="58" t="n"/>
      <c r="AC80" s="58" t="n"/>
    </row>
    <row r="81" ht="16" customHeight="1">
      <c r="Y81" s="58" t="n"/>
      <c r="Z81" s="58" t="n"/>
      <c r="AA81" s="58" t="n"/>
      <c r="AB81" s="58" t="n"/>
      <c r="AC81" s="58" t="n"/>
      <c r="AD81" s="58" t="n"/>
    </row>
    <row r="82" ht="15" customHeight="1"/>
    <row r="83" ht="15" customHeight="1">
      <c r="AD83" s="31" t="n"/>
    </row>
    <row r="84" ht="15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  <row r="95" ht="16" customHeight="1"/>
    <row r="96" ht="16" customHeight="1"/>
    <row r="97" ht="16" customHeight="1"/>
    <row r="98" ht="16" customHeight="1"/>
    <row r="99" ht="16" customHeight="1"/>
    <row r="100" ht="16" customHeight="1"/>
    <row r="101" ht="16" customHeight="1"/>
    <row r="102" ht="16" customHeight="1"/>
    <row r="103" ht="16" customHeight="1"/>
    <row r="104" ht="16" customHeight="1"/>
    <row r="105" ht="16" customHeight="1"/>
    <row r="106" ht="16" customHeight="1"/>
    <row r="107" ht="16" customHeight="1"/>
    <row r="108" ht="16" customHeight="1"/>
    <row r="109" ht="16" customHeight="1"/>
    <row r="110" ht="16" customHeight="1"/>
    <row r="111" ht="16" customHeight="1"/>
    <row r="112" ht="16" customHeight="1"/>
    <row r="113" ht="16" customHeight="1"/>
    <row r="114" ht="16" customHeight="1"/>
    <row r="115" ht="16" customHeight="1"/>
    <row r="116" ht="16" customHeight="1"/>
    <row r="117" ht="16" customHeight="1"/>
    <row r="118" ht="16" customHeight="1"/>
    <row r="119" ht="16" customHeight="1"/>
    <row r="120" ht="16" customHeight="1"/>
    <row r="121" ht="16" customHeight="1"/>
    <row r="122" ht="16" customHeight="1"/>
    <row r="123" ht="16" customHeight="1"/>
    <row r="124" ht="16" customHeight="1"/>
    <row r="125" ht="16" customHeight="1"/>
    <row r="126" ht="16" customHeight="1"/>
    <row r="127" ht="16" customHeight="1"/>
    <row r="128" ht="16" customHeight="1"/>
    <row r="129" ht="16" customHeight="1"/>
    <row r="130" ht="16" customHeight="1"/>
    <row r="131" ht="16" customHeight="1"/>
    <row r="132" ht="16" customHeight="1"/>
    <row r="133" ht="16" customHeight="1"/>
    <row r="134" ht="16" customHeight="1"/>
    <row r="135" ht="16" customHeight="1"/>
    <row r="136" ht="16" customHeight="1"/>
    <row r="137" ht="16" customHeight="1"/>
    <row r="138" ht="16" customHeight="1"/>
    <row r="139" ht="16" customHeight="1"/>
    <row r="140" ht="16" customHeight="1"/>
    <row r="141" ht="16" customHeight="1"/>
    <row r="142" ht="16" customHeight="1"/>
    <row r="143" ht="16" customHeight="1">
      <c r="Z143" s="31" t="n"/>
    </row>
    <row r="144" ht="16" customHeight="1">
      <c r="Z144" s="58" t="n"/>
    </row>
    <row r="145" ht="16" customHeight="1">
      <c r="Z145" s="58" t="n"/>
    </row>
    <row r="146" ht="16" customHeight="1">
      <c r="Z146" s="33" t="n"/>
    </row>
    <row r="147" ht="16" customHeight="1">
      <c r="Z147" s="31" t="n"/>
      <c r="AA147" s="31" t="n"/>
    </row>
    <row r="148" ht="16" customHeight="1"/>
    <row r="149" ht="16" customHeight="1">
      <c r="Z149" s="31" t="n"/>
      <c r="AA149" s="58" t="n"/>
    </row>
    <row r="150" ht="16" customHeight="1">
      <c r="Z150" s="31" t="n"/>
      <c r="AA150" s="58" t="n"/>
    </row>
    <row r="151" ht="16" customHeight="1">
      <c r="Z151" s="31" t="n"/>
    </row>
    <row r="152" ht="16" customHeight="1"/>
    <row r="153" ht="16" customHeight="1">
      <c r="Z153" s="58" t="n"/>
    </row>
    <row r="154" ht="16" customHeight="1"/>
    <row r="155" ht="16" customHeight="1"/>
    <row r="156" ht="16" customHeight="1"/>
    <row r="157" ht="16" customHeight="1"/>
    <row r="158" ht="16" customHeight="1"/>
    <row r="159" ht="16" customHeight="1">
      <c r="Z159" s="31" t="n"/>
    </row>
    <row r="160" ht="16" customHeight="1"/>
    <row r="161" ht="16" customHeight="1"/>
    <row r="162" ht="16" customHeight="1"/>
    <row r="163" ht="16" customHeight="1"/>
    <row r="164" ht="16" customHeight="1"/>
    <row r="165" ht="16" customHeight="1"/>
    <row r="166" ht="16" customHeight="1"/>
    <row r="167" ht="16" customHeight="1"/>
    <row r="168" ht="16" customHeight="1"/>
    <row r="169" ht="16" customHeight="1"/>
    <row r="170" ht="16" customHeight="1"/>
    <row r="171" ht="16" customHeight="1"/>
    <row r="172" ht="16" customHeight="1"/>
    <row r="173" ht="16" customHeight="1"/>
    <row r="174" ht="16" customHeight="1"/>
    <row r="175" ht="16" customHeight="1"/>
    <row r="176" ht="16" customHeight="1"/>
    <row r="177" ht="16" customHeight="1"/>
    <row r="178" ht="16" customHeight="1"/>
    <row r="179" ht="16" customHeight="1"/>
    <row r="180" ht="16" customHeight="1"/>
    <row r="181" ht="16" customHeight="1"/>
    <row r="182" ht="16" customHeight="1"/>
    <row r="183" ht="16" customHeight="1"/>
    <row r="184" ht="16" customHeight="1"/>
    <row r="185" ht="16" customHeight="1"/>
    <row r="186" ht="16" customHeight="1"/>
    <row r="187" ht="16" customHeight="1"/>
    <row r="188" ht="16" customHeight="1"/>
    <row r="189" ht="16" customHeight="1"/>
    <row r="190" ht="16" customHeight="1"/>
    <row r="191" ht="16" customHeight="1"/>
    <row r="192" ht="16" customHeight="1"/>
    <row r="193" ht="16" customHeight="1"/>
    <row r="194" ht="7" customHeight="1"/>
    <row r="195" ht="16" customHeight="1"/>
    <row r="196" ht="16" customHeight="1"/>
    <row r="197" ht="16" customHeight="1"/>
    <row r="198" ht="16" customHeight="1"/>
    <row r="199" ht="7" customHeight="1"/>
    <row r="200" ht="16" customHeight="1"/>
    <row r="201" ht="16" customHeight="1"/>
  </sheetData>
  <mergeCells count="1">
    <mergeCell ref="C2:N2"/>
  </mergeCells>
  <pageMargins left="0.7" right="0.7" top="0.75" bottom="0.75" header="0.3" footer="0.3"/>
  <pageSetup orientation="landscape" scale="68" fitToHeight="5" horizontalDpi="0" verticalDpi="0"/>
  <rowBreaks count="4" manualBreakCount="4">
    <brk id="41" min="0" max="16383" man="1"/>
    <brk id="84" min="0" max="18" man="1"/>
    <brk id="115" min="0" max="18" man="1"/>
    <brk id="160" min="0" max="18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Joshua Cascade</dc:creator>
  <dcterms:created xsi:type="dcterms:W3CDTF">2018-09-14T12:02:26Z</dcterms:created>
  <dcterms:modified xsi:type="dcterms:W3CDTF">2025-11-24T21:43:22Z</dcterms:modified>
  <cp:lastModifiedBy>Evan Gresser</cp:lastModifiedBy>
  <cp:lastPrinted>2021-03-11T15:21:29Z</cp:lastPrinted>
</cp:coreProperties>
</file>