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59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2023</v>
      </c>
      <c r="F4" s="40">
        <f>E4+1</f>
        <v/>
      </c>
      <c r="G4" s="40">
        <f>F4+1</f>
        <v/>
      </c>
      <c r="H4" s="8">
        <f>G4+1</f>
        <v/>
      </c>
      <c r="I4" s="8">
        <f>H4+1</f>
        <v/>
      </c>
      <c r="J4" s="8">
        <f>I4+1</f>
        <v/>
      </c>
      <c r="K4" s="8">
        <f>J4+1</f>
        <v/>
      </c>
      <c r="L4" s="8">
        <f>K4+1</f>
        <v/>
      </c>
      <c r="M4" s="8">
        <f>L4+1</f>
        <v/>
      </c>
      <c r="N4" s="5" t="n">
        <v>0.01</v>
      </c>
      <c r="O4" s="1" t="n"/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100</v>
      </c>
      <c r="F5" s="39" t="n">
        <v>102</v>
      </c>
      <c r="G5" s="39" t="n">
        <v>101</v>
      </c>
      <c r="H5" s="10" t="n">
        <v>102.01</v>
      </c>
      <c r="I5" s="10" t="n">
        <v>103.0301</v>
      </c>
      <c r="J5" s="10" t="n">
        <v>104.060401</v>
      </c>
      <c r="K5" s="10" t="n">
        <v>105.10100501</v>
      </c>
      <c r="L5" s="10" t="n">
        <v>106.1520150601</v>
      </c>
      <c r="M5" s="10" t="n">
        <v>107.213535210701</v>
      </c>
      <c r="N5" s="11" t="n"/>
      <c r="O5" s="1" t="n"/>
      <c r="P5" s="24" t="inlineStr">
        <is>
          <t xml:space="preserve">Revenue growth </t>
        </is>
      </c>
      <c r="Q5" s="24" t="n">
        <v>0.01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0.02000000000000002</v>
      </c>
      <c r="G6" s="46" t="n">
        <v>-0.009803921568627416</v>
      </c>
      <c r="H6" s="46" t="n">
        <v>0.01000000000000001</v>
      </c>
      <c r="I6" s="46" t="n">
        <v>0.01000000000000001</v>
      </c>
      <c r="J6" s="46" t="n">
        <v>0.01000000000000001</v>
      </c>
      <c r="K6" s="46" t="n">
        <v>0.01000000000000001</v>
      </c>
      <c r="L6" s="46" t="n">
        <v>0.01000000000000001</v>
      </c>
      <c r="M6" s="46" t="n">
        <v>0.01000000000000001</v>
      </c>
      <c r="N6" s="5" t="n"/>
      <c r="O6" s="1" t="n"/>
      <c r="P6" s="24" t="inlineStr">
        <is>
          <t>COGS</t>
        </is>
      </c>
      <c r="Q6" s="24" t="n">
        <v>0.7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0.05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70</v>
      </c>
      <c r="F8" s="39" t="n">
        <v>70</v>
      </c>
      <c r="G8" s="39" t="n">
        <v>70</v>
      </c>
      <c r="H8" s="42" t="n">
        <v>71.407</v>
      </c>
      <c r="I8" s="42" t="n">
        <v>72.12107</v>
      </c>
      <c r="J8" s="42" t="n">
        <v>72.84228069999999</v>
      </c>
      <c r="K8" s="42" t="n">
        <v>73.57070350699999</v>
      </c>
      <c r="L8" s="42" t="n">
        <v>74.30641054207</v>
      </c>
      <c r="M8" s="42" t="n">
        <v>75.0494746474907</v>
      </c>
      <c r="N8" s="11" t="n"/>
      <c r="O8" s="1" t="n"/>
      <c r="P8" s="24" t="inlineStr">
        <is>
          <t>R&amp;D</t>
        </is>
      </c>
      <c r="Q8" s="24" t="n">
        <v>0.05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0.7</v>
      </c>
      <c r="F9" s="46" t="n">
        <v>0.6862745098039216</v>
      </c>
      <c r="G9" s="46" t="n">
        <v>0.693069306930693</v>
      </c>
      <c r="H9" s="18" t="n">
        <v>0.7</v>
      </c>
      <c r="I9" s="18" t="n">
        <v>0.7</v>
      </c>
      <c r="J9" s="18" t="n">
        <v>0.7</v>
      </c>
      <c r="K9" s="18" t="n">
        <v>0.7</v>
      </c>
      <c r="L9" s="18" t="n">
        <v>0.7</v>
      </c>
      <c r="M9" s="18" t="n">
        <v>0.7</v>
      </c>
      <c r="N9" s="5" t="n"/>
      <c r="O9" s="1" t="n"/>
      <c r="P9" s="24" t="inlineStr">
        <is>
          <t>CAPEX</t>
        </is>
      </c>
      <c r="Q9" s="24" t="n">
        <v>-0.02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30</v>
      </c>
      <c r="F11" s="38" t="n">
        <v>32</v>
      </c>
      <c r="G11" s="38" t="n">
        <v>31</v>
      </c>
      <c r="H11" s="38" t="n">
        <v>30.60300000000001</v>
      </c>
      <c r="I11" s="38" t="n">
        <v>30.90903</v>
      </c>
      <c r="J11" s="38" t="n">
        <v>31.21812030000001</v>
      </c>
      <c r="K11" s="38" t="n">
        <v>31.530301503</v>
      </c>
      <c r="L11" s="38" t="n">
        <v>31.84560451803</v>
      </c>
      <c r="M11" s="38" t="n">
        <v>32.1640605632103</v>
      </c>
      <c r="N11" s="11" t="n"/>
      <c r="O11" s="1" t="n"/>
      <c r="P11" s="1" t="n"/>
      <c r="Q11" s="1" t="n"/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0.3</v>
      </c>
      <c r="F12" s="46" t="n">
        <v>0.3137254901960784</v>
      </c>
      <c r="G12" s="46" t="n">
        <v>0.3069306930693069</v>
      </c>
      <c r="H12" s="46" t="n">
        <v>0.3</v>
      </c>
      <c r="I12" s="46" t="n">
        <v>0.3</v>
      </c>
      <c r="J12" s="46" t="n">
        <v>0.3000000000000001</v>
      </c>
      <c r="K12" s="46" t="n">
        <v>0.3</v>
      </c>
      <c r="L12" s="46" t="n">
        <v>0.3</v>
      </c>
      <c r="M12" s="46" t="n">
        <v>0.3</v>
      </c>
      <c r="N12" s="5" t="n"/>
      <c r="O12" s="1" t="n"/>
      <c r="P12" s="1" t="n"/>
      <c r="Q12" s="1" t="n"/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n"/>
      <c r="Q13" s="1" t="n"/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5</v>
      </c>
      <c r="F14" s="38" t="n">
        <v>5</v>
      </c>
      <c r="G14" s="38" t="n">
        <v>5</v>
      </c>
      <c r="H14" s="15" t="n">
        <v>5.1005</v>
      </c>
      <c r="I14" s="15" t="n">
        <v>5.151505</v>
      </c>
      <c r="J14" s="15" t="n">
        <v>5.20302005</v>
      </c>
      <c r="K14" s="15" t="n">
        <v>5.2550502505</v>
      </c>
      <c r="L14" s="15" t="n">
        <v>5.307600753005</v>
      </c>
      <c r="M14" s="15" t="n">
        <v>5.36067676053505</v>
      </c>
      <c r="N14" s="11" t="n"/>
      <c r="O14" s="1" t="n"/>
      <c r="P14" s="1" t="n"/>
      <c r="Q14" s="1" t="n"/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0.05</v>
      </c>
      <c r="F15" s="46" t="n">
        <v>0.04901960784313725</v>
      </c>
      <c r="G15" s="46" t="n">
        <v>0.04950495049504951</v>
      </c>
      <c r="H15" s="46" t="n">
        <v>0.05</v>
      </c>
      <c r="I15" s="46" t="n">
        <v>0.05</v>
      </c>
      <c r="J15" s="46" t="n">
        <v>0.05</v>
      </c>
      <c r="K15" s="46" t="n">
        <v>0.05</v>
      </c>
      <c r="L15" s="46" t="n">
        <v>0.05</v>
      </c>
      <c r="M15" s="46" t="n">
        <v>0.05</v>
      </c>
      <c r="N15" s="5" t="n"/>
      <c r="O15" s="1" t="n"/>
      <c r="P15" s="1" t="n"/>
      <c r="Q15" s="1" t="n"/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n"/>
      <c r="Q16" s="1" t="n"/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5</v>
      </c>
      <c r="F17" s="38" t="n">
        <v>5</v>
      </c>
      <c r="G17" s="38" t="n">
        <v>5</v>
      </c>
      <c r="H17" s="15" t="n">
        <v>5.1005</v>
      </c>
      <c r="I17" s="15" t="n">
        <v>5.151505</v>
      </c>
      <c r="J17" s="15" t="n">
        <v>5.20302005</v>
      </c>
      <c r="K17" s="15" t="n">
        <v>5.2550502505</v>
      </c>
      <c r="L17" s="15" t="n">
        <v>5.307600753005</v>
      </c>
      <c r="M17" s="15" t="n">
        <v>5.36067676053505</v>
      </c>
      <c r="N17" s="11" t="n"/>
      <c r="O17" s="1" t="n"/>
      <c r="P17" s="1" t="n"/>
      <c r="Q17" s="1" t="n"/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</v>
      </c>
      <c r="F18" s="46" t="n">
        <v>0.04901960784313725</v>
      </c>
      <c r="G18" s="46" t="n">
        <v>0.04950495049504951</v>
      </c>
      <c r="H18" s="46" t="n">
        <v>0.05</v>
      </c>
      <c r="I18" s="46" t="n">
        <v>0.05</v>
      </c>
      <c r="J18" s="46" t="n">
        <v>0.05</v>
      </c>
      <c r="K18" s="46" t="n">
        <v>0.05</v>
      </c>
      <c r="L18" s="46" t="n">
        <v>0.05</v>
      </c>
      <c r="M18" s="46" t="n">
        <v>0.05</v>
      </c>
      <c r="N18" s="5" t="n"/>
      <c r="O18" s="1" t="n"/>
      <c r="P18" s="1" t="n"/>
      <c r="Q18" s="1" t="n"/>
      <c r="R18" s="6" t="n"/>
      <c r="S18" s="9" t="n"/>
      <c r="T18" s="9" t="n"/>
      <c r="U18" s="1" t="n"/>
    </row>
    <row r="19" ht="16" customHeight="1">
      <c r="B19" s="1" t="n"/>
      <c r="C19" s="1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5" t="n"/>
      <c r="O19" s="1" t="n"/>
      <c r="P19" s="1" t="n"/>
      <c r="Q19" s="1" t="n"/>
      <c r="R19" s="6" t="n"/>
      <c r="S19" s="9" t="n"/>
      <c r="T19" s="9" t="n"/>
      <c r="U19" s="1" t="n"/>
    </row>
    <row r="20" ht="16" customHeight="1">
      <c r="B20" s="1" t="n"/>
      <c r="C20" s="14" t="inlineStr">
        <is>
          <t>Organic EBITDA</t>
        </is>
      </c>
      <c r="D20" s="14" t="n"/>
      <c r="E20" s="50" t="n">
        <v>25</v>
      </c>
      <c r="F20" s="50" t="n">
        <v>27</v>
      </c>
      <c r="G20" s="50" t="n">
        <v>26</v>
      </c>
      <c r="H20" s="37" t="n">
        <v>25.50250000000001</v>
      </c>
      <c r="I20" s="37" t="n">
        <v>25.757525</v>
      </c>
      <c r="J20" s="37" t="n">
        <v>26.01510025000001</v>
      </c>
      <c r="K20" s="37" t="n">
        <v>26.27525125250001</v>
      </c>
      <c r="L20" s="37" t="n">
        <v>26.538003765025</v>
      </c>
      <c r="M20" s="37" t="n">
        <v>26.80338380267525</v>
      </c>
      <c r="N20" s="5" t="n"/>
      <c r="O20" s="1" t="n"/>
      <c r="P20" s="1" t="n"/>
      <c r="Q20" s="1" t="n"/>
      <c r="R20" s="6" t="n"/>
      <c r="S20" s="9" t="n"/>
      <c r="T20" s="9" t="n"/>
      <c r="U20" s="1" t="n"/>
    </row>
    <row r="21" ht="16" customHeight="1">
      <c r="B21" s="1" t="n"/>
      <c r="C21" s="1" t="inlineStr">
        <is>
          <t xml:space="preserve">   % margin</t>
        </is>
      </c>
      <c r="D21" s="1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n"/>
      <c r="Q21" s="1" t="n"/>
      <c r="R21" s="6" t="n"/>
      <c r="S21" s="9" t="n"/>
      <c r="T21" s="9" t="n"/>
      <c r="U21" s="1" t="n"/>
    </row>
    <row r="22" ht="16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5" t="n"/>
      <c r="O22" s="1" t="n"/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>Other Income</t>
        </is>
      </c>
      <c r="D23" s="15" t="n"/>
      <c r="E23" s="15" t="n">
        <v>0</v>
      </c>
      <c r="F23" s="15" t="n">
        <v>0</v>
      </c>
      <c r="G23" s="15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5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24" t="inlineStr">
        <is>
          <t>Total EBITDA</t>
        </is>
      </c>
      <c r="D25" s="25" t="n"/>
      <c r="E25" s="51" t="n">
        <v>25</v>
      </c>
      <c r="F25" s="51" t="n">
        <v>27</v>
      </c>
      <c r="G25" s="51" t="n">
        <v>26</v>
      </c>
      <c r="H25" s="25" t="n">
        <v>25.50250000000001</v>
      </c>
      <c r="I25" s="25" t="n">
        <v>25.757525</v>
      </c>
      <c r="J25" s="25" t="n">
        <v>26.01510025000001</v>
      </c>
      <c r="K25" s="25" t="n">
        <v>26.27525125250001</v>
      </c>
      <c r="L25" s="25" t="n">
        <v>26.538003765025</v>
      </c>
      <c r="M25" s="25" t="n">
        <v>26.80338380267525</v>
      </c>
      <c r="N25" s="11" t="n"/>
      <c r="O25" s="1" t="n"/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inlineStr">
        <is>
          <t xml:space="preserve">   % margin</t>
        </is>
      </c>
      <c r="D26" s="46" t="n"/>
      <c r="E26" s="46" t="n">
        <v>0.25</v>
      </c>
      <c r="F26" s="46" t="n">
        <v>0.2647058823529412</v>
      </c>
      <c r="G26" s="46" t="n">
        <v>0.2574257425742574</v>
      </c>
      <c r="H26" s="46" t="n">
        <v>0.2500000000000001</v>
      </c>
      <c r="I26" s="46" t="n">
        <v>0.25</v>
      </c>
      <c r="J26" s="46" t="n">
        <v>0.2500000000000001</v>
      </c>
      <c r="K26" s="46" t="n">
        <v>0.2500000000000001</v>
      </c>
      <c r="L26" s="46" t="n">
        <v>0.25</v>
      </c>
      <c r="M26" s="46" t="n">
        <v>0.25</v>
      </c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1" t="n"/>
      <c r="D27" s="1" t="n"/>
      <c r="E27" s="1" t="n"/>
      <c r="F27" s="46" t="n"/>
      <c r="G27" s="1" t="n"/>
      <c r="H27" s="1" t="n"/>
      <c r="I27" s="1" t="n"/>
      <c r="J27" s="1" t="n"/>
      <c r="K27" s="1" t="n"/>
      <c r="L27" s="1" t="n"/>
      <c r="M27" s="1" t="n"/>
      <c r="N27" s="5" t="n"/>
      <c r="O27" s="1" t="n"/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>Capex</t>
        </is>
      </c>
      <c r="D28" s="1" t="n"/>
      <c r="E28" s="38" t="n">
        <v>-2</v>
      </c>
      <c r="F28" s="38" t="n">
        <v>-2</v>
      </c>
      <c r="G28" s="38" t="n">
        <v>-2</v>
      </c>
      <c r="H28" s="15" t="n">
        <v>-2.0402</v>
      </c>
      <c r="I28" s="15" t="n">
        <v>-2.060602</v>
      </c>
      <c r="J28" s="15" t="n">
        <v>-2.08120802</v>
      </c>
      <c r="K28" s="15" t="n">
        <v>-2.1020201002</v>
      </c>
      <c r="L28" s="15" t="n">
        <v>-2.123040301202</v>
      </c>
      <c r="M28" s="15" t="n">
        <v>-2.14427070421402</v>
      </c>
      <c r="N28" s="5" t="n"/>
      <c r="O28" s="1" t="n"/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 xml:space="preserve">  % Revenue</t>
        </is>
      </c>
      <c r="D29" s="1" t="n"/>
      <c r="E29" s="17" t="n">
        <v>-0.02</v>
      </c>
      <c r="F29" s="17" t="n">
        <v>-0.0196078431372549</v>
      </c>
      <c r="G29" s="17" t="n">
        <v>-0.0198019801980198</v>
      </c>
      <c r="H29" s="18" t="n">
        <v>-0.02</v>
      </c>
      <c r="I29" s="18" t="n">
        <v>-0.02</v>
      </c>
      <c r="J29" s="18" t="n">
        <v>-0.02</v>
      </c>
      <c r="K29" s="18" t="n">
        <v>-0.02</v>
      </c>
      <c r="L29" s="18" t="n">
        <v>-0.02</v>
      </c>
      <c r="M29" s="18" t="n">
        <v>-0.02</v>
      </c>
      <c r="N29" s="11" t="n"/>
      <c r="O29" s="1" t="n"/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6" t="n"/>
      <c r="S31" s="9" t="n"/>
      <c r="T31" s="9" t="n"/>
      <c r="U31" s="1" t="n"/>
    </row>
    <row r="32" ht="16" customHeight="1"/>
    <row r="33" ht="16" customHeight="1"/>
    <row r="34" ht="16" customHeight="1"/>
    <row r="35" ht="16" customHeight="1">
      <c r="AD35" s="56" t="n"/>
    </row>
    <row r="36" ht="16" customHeight="1"/>
    <row r="37" ht="16" customHeight="1">
      <c r="V37" s="27" t="n"/>
      <c r="W37" s="21" t="n"/>
    </row>
    <row r="38" ht="16" customHeight="1">
      <c r="W38" s="22" t="n"/>
    </row>
    <row r="39" ht="16" customHeight="1">
      <c r="W39" s="22" t="n"/>
    </row>
    <row r="40" ht="16" customHeight="1">
      <c r="W40" s="22" t="n"/>
    </row>
    <row r="41" ht="16" customHeight="1">
      <c r="W41" s="57" t="n"/>
    </row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>
      <c r="Y76" s="34" t="n"/>
      <c r="Z76" s="34" t="n"/>
      <c r="AA76" s="34" t="n"/>
    </row>
    <row r="77" ht="16" customHeight="1">
      <c r="Y77" s="58" t="n"/>
      <c r="Z77" s="58" t="n"/>
      <c r="AA77" s="58" t="n"/>
      <c r="AB77" s="58" t="n"/>
      <c r="AC77" s="58" t="n"/>
      <c r="AD77" s="58" t="n"/>
    </row>
    <row r="78" ht="20" customHeight="1">
      <c r="Y78" s="58" t="n"/>
      <c r="Z78" s="58" t="n"/>
      <c r="AA78" s="58" t="n"/>
      <c r="AB78" s="58" t="n"/>
      <c r="AC78" s="58" t="n"/>
      <c r="AD78" s="58" t="n"/>
    </row>
    <row r="79" ht="19" customHeight="1"/>
    <row r="80" ht="16" customHeight="1">
      <c r="Y80" s="58" t="n"/>
      <c r="Z80" s="58" t="n"/>
      <c r="AA80" s="58" t="n"/>
      <c r="AB80" s="58" t="n"/>
      <c r="AC80" s="58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/>
    <row r="83" ht="15" customHeight="1">
      <c r="AD83" s="31" t="n"/>
    </row>
    <row r="84" ht="15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>
      <c r="Z143" s="31" t="n"/>
    </row>
    <row r="144" ht="16" customHeight="1">
      <c r="Z144" s="58" t="n"/>
    </row>
    <row r="145" ht="16" customHeight="1">
      <c r="Z145" s="58" t="n"/>
    </row>
    <row r="146" ht="16" customHeight="1">
      <c r="Z146" s="33" t="n"/>
    </row>
    <row r="147" ht="16" customHeight="1">
      <c r="Z147" s="31" t="n"/>
      <c r="AA147" s="31" t="n"/>
    </row>
    <row r="148" ht="16" customHeight="1"/>
    <row r="149" ht="16" customHeight="1">
      <c r="Z149" s="31" t="n"/>
      <c r="AA149" s="58" t="n"/>
    </row>
    <row r="150" ht="16" customHeight="1">
      <c r="Z150" s="31" t="n"/>
      <c r="AA150" s="58" t="n"/>
    </row>
    <row r="151" ht="16" customHeight="1">
      <c r="Z151" s="31" t="n"/>
    </row>
    <row r="152" ht="16" customHeight="1"/>
    <row r="153" ht="16" customHeight="1">
      <c r="Z153" s="58" t="n"/>
    </row>
    <row r="154" ht="16" customHeight="1"/>
    <row r="155" ht="16" customHeight="1"/>
    <row r="156" ht="16" customHeight="1"/>
    <row r="157" ht="16" customHeight="1"/>
    <row r="158" ht="16" customHeight="1"/>
    <row r="159" ht="16" customHeight="1">
      <c r="Z159" s="31" t="n"/>
    </row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2025-11-24T21:37:32Z</dcterms:modified>
  <cp:lastModifiedBy>Evan Gresser</cp:lastModifiedBy>
  <cp:lastPrinted>2021-03-11T15:21:29Z</cp:lastPrinted>
</cp:coreProperties>
</file>